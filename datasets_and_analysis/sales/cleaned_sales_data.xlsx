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DA_Excel\"/>
    </mc:Choice>
  </mc:AlternateContent>
  <xr:revisionPtr revIDLastSave="0" documentId="13_ncr:9_{B8C9C30F-7E02-4BA2-9659-BF1F7B34DA77}" xr6:coauthVersionLast="47" xr6:coauthVersionMax="47" xr10:uidLastSave="{00000000-0000-0000-0000-000000000000}"/>
  <bookViews>
    <workbookView xWindow="-108" yWindow="-108" windowWidth="23256" windowHeight="12456" activeTab="1" xr2:uid="{F99A3D91-705F-4780-B13F-C7564CA1DF6B}"/>
  </bookViews>
  <sheets>
    <sheet name="Sheet1" sheetId="2" r:id="rId1"/>
    <sheet name="Sales_data" sheetId="1" r:id="rId2"/>
  </sheets>
  <definedNames>
    <definedName name="_xlnm._FilterDatabase" localSheetId="1" hidden="1">Sales_data!$L$3:$L$11</definedName>
  </definedNames>
  <calcPr calcId="0"/>
  <pivotCaches>
    <pivotCache cacheId="4" r:id="rId3"/>
  </pivotCaches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3" i="1"/>
  <c r="J7" i="1"/>
  <c r="J4" i="1"/>
  <c r="J5" i="1"/>
  <c r="J3" i="1"/>
  <c r="I3" i="1" a="1"/>
  <c r="I3" i="1" s="1"/>
  <c r="G8" i="1"/>
  <c r="G7" i="1"/>
  <c r="G6" i="1"/>
  <c r="G5" i="1"/>
  <c r="G4" i="1"/>
  <c r="G3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<sst xmlns="http://schemas.openxmlformats.org/spreadsheetml/2006/main" count="54" uniqueCount="23">
  <si>
    <t>Year</t>
  </si>
  <si>
    <t>Category</t>
  </si>
  <si>
    <t>Units Sold</t>
  </si>
  <si>
    <t>Unit Price</t>
  </si>
  <si>
    <t>Accessories</t>
  </si>
  <si>
    <t>Clothing</t>
  </si>
  <si>
    <t>Electronics</t>
  </si>
  <si>
    <t>Total Sales</t>
  </si>
  <si>
    <t>Average</t>
  </si>
  <si>
    <t>Sum</t>
  </si>
  <si>
    <t>Maximum</t>
  </si>
  <si>
    <t>Minimum</t>
  </si>
  <si>
    <t>Standerd davition</t>
  </si>
  <si>
    <t>Median</t>
  </si>
  <si>
    <t>Skewness</t>
  </si>
  <si>
    <t>Unique Catagories</t>
  </si>
  <si>
    <t xml:space="preserve"> Category wise Sales</t>
  </si>
  <si>
    <t>Sales</t>
  </si>
  <si>
    <t>Avrage sales</t>
  </si>
  <si>
    <t>Row Labels</t>
  </si>
  <si>
    <t>Grand Total</t>
  </si>
  <si>
    <t>Sum of Total Sales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</si>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</sst>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Sales_data!$L$1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Sales_data!$K$2:$K$11</c:f>
              <c:numCache>
                <c:formatCode>General</c:formatCode>
                <c:ptCount val="10"/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</c:numCache>
            </c:numRef>
          </c:cat>
          <c:val>
            <c:numRef>
              <c:f>Sales_data!$L$2:$L$11</c:f>
              <c:numCache>
                <c:formatCode>General</c:formatCode>
                <c:ptCount val="10"/>
                <c:pt idx="1">
                  <c:v>925</c:v>
                </c:pt>
                <c:pt idx="2">
                  <c:v>770</c:v>
                </c:pt>
                <c:pt idx="3">
                  <c:v>1062</c:v>
                </c:pt>
                <c:pt idx="4">
                  <c:v>790</c:v>
                </c:pt>
                <c:pt idx="5">
                  <c:v>965</c:v>
                </c:pt>
                <c:pt idx="6">
                  <c:v>868</c:v>
                </c:pt>
                <c:pt idx="7">
                  <c:v>1400</c:v>
                </c:pt>
                <c:pt idx="8">
                  <c:v>1010</c:v>
                </c:pt>
                <c:pt idx="9">
                  <c:v>2068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11-4D56-9813-506D389DF6B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42656943"/>
        <c:axId val="1673940735"/>
      </c:lineChart>
      <c:catAx>
        <c:axId val="194265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940735"/>
        <c:crosses val="autoZero"/>
        <c:auto val="1"/>
        <c:lblAlgn val="ctr"/>
        <c:lblOffset val="100"/>
        <c:noMultiLvlLbl val="0"/>
      </c:catAx>
      <c:valAx>
        <c:axId val="167394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656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Sales_data!$J$1</c:f>
              <c:strCache>
                <c:ptCount val="1"/>
                <c:pt idx="0">
                  <c:v> Category wise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Sales_data!$I$2:$I$5</c:f>
              <c:strCache>
                <c:ptCount val="4"/>
                <c:pt idx="1">
                  <c:v>Accessories</c:v>
                </c:pt>
                <c:pt idx="2">
                  <c:v>Clothing</c:v>
                </c:pt>
                <c:pt idx="3">
                  <c:v>Electronics</c:v>
                </c:pt>
              </c:strCache>
            </c:strRef>
          </c:cat>
          <c:val>
            <c:numRef>
              <c:f>Sales_data!$J$2:$J$5</c:f>
              <c:numCache>
                <c:formatCode>General</c:formatCode>
                <c:ptCount val="4"/>
                <c:pt idx="1">
                  <c:v>2293</c:v>
                </c:pt>
                <c:pt idx="2">
                  <c:v>1915</c:v>
                </c:pt>
                <c:pt idx="3">
                  <c:v>5650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F3-486E-8B4C-5FF42E2C5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1380399"/>
        <c:axId val="1851378479"/>
      </c:barChart>
      <c:catAx>
        <c:axId val="1851380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378479"/>
        <c:crosses val="autoZero"/>
        <c:auto val="1"/>
        <c:lblAlgn val="ctr"/>
        <c:lblOffset val="100"/>
        <c:noMultiLvlLbl val="0"/>
      </c:catAx>
      <c:valAx>
        <c:axId val="185137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380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305583</xdr:colOff>
      <xdr:row>14</xdr:row>
      <xdr:rowOff>93755</xdr:rowOff>
    </xdr:from>
    <xdr:to>
      <xdr:col>17</xdr:col>
      <xdr:colOff>610384</xdr:colOff>
      <xdr:row>29</xdr:row>
      <xdr:rowOff>93755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A8447C-D1CB-371D-6EB7-3EE28557C5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940536</xdr:colOff>
      <xdr:row>14</xdr:row>
      <xdr:rowOff>85993</xdr:rowOff>
    </xdr:from>
    <xdr:to>
      <xdr:col>10</xdr:col>
      <xdr:colOff>102123</xdr:colOff>
      <xdr:row>29</xdr:row>
      <xdr:rowOff>85993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0B610A-5B83-6A7E-4435-890B6D82C5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25.804382754628" createdVersion="8" refreshedVersion="8" minRefreshableVersion="3" recordCount="29" xr:uid="{D097FED5-718D-4F7E-B6A0-6E44BD1FA2F4}">
  <cacheSource type="worksheet">
    <worksheetSource ref="A1:E30" sheet="Sales_data"/>
  </cacheSource>
  <cacheFields count="5">
    <cacheField name="Year" numFmtId="0">
      <sharedItems containsSemiMixedTypes="0" containsString="0" containsNumber="1" containsInteger="1" minValue="2001" maxValue="2009" count="9">
        <n v="2009"/>
        <n v="2003"/>
        <n v="2006"/>
        <n v="2002"/>
        <n v="2005"/>
        <n v="2004"/>
        <n v="2008"/>
        <n v="2007"/>
        <n v="2001"/>
      </sharedItems>
    </cacheField>
    <cacheField name="Category" numFmtId="0">
      <sharedItems count="3">
        <s v="Accessories"/>
        <s v="Clothing"/>
        <s v="Electronics"/>
      </sharedItems>
    </cacheField>
    <cacheField name="Units Sold" numFmtId="0">
      <sharedItems containsSemiMixedTypes="0" containsString="0" containsNumber="1" containsInteger="1" minValue="2" maxValue="16"/>
    </cacheField>
    <cacheField name="Unit Price" numFmtId="0">
      <sharedItems containsSemiMixedTypes="0" containsString="0" containsNumber="1" containsInteger="1" minValue="8" maxValue="200"/>
    </cacheField>
    <cacheField name="Total Sales" numFmtId="0">
      <sharedItems containsSemiMixedTypes="0" containsString="0" containsNumber="1" containsInteger="1" minValue="54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x v="0"/>
    <n v="6"/>
    <n v="9"/>
    <n v="54"/>
  </r>
  <r>
    <x v="1"/>
    <x v="0"/>
    <n v="9"/>
    <n v="8"/>
    <n v="72"/>
  </r>
  <r>
    <x v="2"/>
    <x v="0"/>
    <n v="11"/>
    <n v="8"/>
    <n v="88"/>
  </r>
  <r>
    <x v="0"/>
    <x v="0"/>
    <n v="13"/>
    <n v="8"/>
    <n v="104"/>
  </r>
  <r>
    <x v="3"/>
    <x v="0"/>
    <n v="12"/>
    <n v="10"/>
    <n v="120"/>
  </r>
  <r>
    <x v="4"/>
    <x v="0"/>
    <n v="14"/>
    <n v="10"/>
    <n v="140"/>
  </r>
  <r>
    <x v="1"/>
    <x v="1"/>
    <n v="5"/>
    <n v="30"/>
    <n v="150"/>
  </r>
  <r>
    <x v="5"/>
    <x v="0"/>
    <n v="10"/>
    <n v="15"/>
    <n v="150"/>
  </r>
  <r>
    <x v="6"/>
    <x v="0"/>
    <n v="16"/>
    <n v="10"/>
    <n v="160"/>
  </r>
  <r>
    <x v="2"/>
    <x v="1"/>
    <n v="6"/>
    <n v="30"/>
    <n v="180"/>
  </r>
  <r>
    <x v="7"/>
    <x v="0"/>
    <n v="12"/>
    <n v="15"/>
    <n v="180"/>
  </r>
  <r>
    <x v="8"/>
    <x v="1"/>
    <n v="10"/>
    <n v="20"/>
    <n v="200"/>
  </r>
  <r>
    <x v="3"/>
    <x v="1"/>
    <n v="8"/>
    <n v="25"/>
    <n v="200"/>
  </r>
  <r>
    <x v="0"/>
    <x v="1"/>
    <n v="7"/>
    <n v="30"/>
    <n v="210"/>
  </r>
  <r>
    <x v="8"/>
    <x v="0"/>
    <n v="15"/>
    <n v="15"/>
    <n v="225"/>
  </r>
  <r>
    <x v="4"/>
    <x v="1"/>
    <n v="9"/>
    <n v="25"/>
    <n v="225"/>
  </r>
  <r>
    <x v="5"/>
    <x v="1"/>
    <n v="12"/>
    <n v="20"/>
    <n v="240"/>
  </r>
  <r>
    <x v="6"/>
    <x v="1"/>
    <n v="10"/>
    <n v="25"/>
    <n v="250"/>
  </r>
  <r>
    <x v="7"/>
    <x v="1"/>
    <n v="13"/>
    <n v="20"/>
    <n v="260"/>
  </r>
  <r>
    <x v="5"/>
    <x v="2"/>
    <n v="2"/>
    <n v="200"/>
    <n v="400"/>
  </r>
  <r>
    <x v="3"/>
    <x v="2"/>
    <n v="3"/>
    <n v="150"/>
    <n v="450"/>
  </r>
  <r>
    <x v="8"/>
    <x v="2"/>
    <n v="5"/>
    <n v="100"/>
    <n v="500"/>
  </r>
  <r>
    <x v="4"/>
    <x v="2"/>
    <n v="6"/>
    <n v="100"/>
    <n v="600"/>
  </r>
  <r>
    <x v="2"/>
    <x v="2"/>
    <n v="4"/>
    <n v="150"/>
    <n v="600"/>
  </r>
  <r>
    <x v="6"/>
    <x v="2"/>
    <n v="3"/>
    <n v="200"/>
    <n v="600"/>
  </r>
  <r>
    <x v="0"/>
    <x v="2"/>
    <n v="7"/>
    <n v="100"/>
    <n v="700"/>
  </r>
  <r>
    <x v="1"/>
    <x v="2"/>
    <n v="7"/>
    <n v="120"/>
    <n v="840"/>
  </r>
  <r>
    <x v="7"/>
    <x v="2"/>
    <n v="8"/>
    <n v="120"/>
    <n v="960"/>
  </r>
  <r>
    <x v="0"/>
    <x v="0"/>
    <n v="10"/>
    <n v="100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54934-602A-4686-8F96-9436260151F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4" firstHeaderRow="1" firstDataRow="2" firstDataCol="1"/>
  <pivotFields count="5">
    <pivotField axis="axisRow" showAll="0">
      <items count="10">
        <item x="8"/>
        <item x="3"/>
        <item x="1"/>
        <item x="5"/>
        <item x="4"/>
        <item x="2"/>
        <item x="7"/>
        <item x="6"/>
        <item x="0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Total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18B76-E64C-402D-9190-DC4213762C68}">
  <dimension ref="A3:E14"/>
  <sheetViews>
    <sheetView workbookViewId="0">
      <selection activeCell="F9" sqref="F9"/>
    </sheetView>
  </sheetViews>
  <sheetFormatPr defaultRowHeight="14.4" x14ac:dyDescent="0.3"/>
  <cols>
    <col min="1" max="1" width="16.44140625" bestFit="1" customWidth="1"/>
    <col min="2" max="2" width="15.5546875" bestFit="1" customWidth="1"/>
    <col min="3" max="3" width="8" bestFit="1" customWidth="1"/>
    <col min="4" max="4" width="10" bestFit="1" customWidth="1"/>
    <col min="5" max="5" width="10.77734375" bestFit="1" customWidth="1"/>
  </cols>
  <sheetData>
    <row r="3" spans="1:5" x14ac:dyDescent="0.3">
      <c r="A3" s="1" t="s">
        <v>21</v>
      </c>
      <c r="B3" s="1" t="s">
        <v>22</v>
      </c>
    </row>
    <row r="4" spans="1:5" x14ac:dyDescent="0.3">
      <c r="A4" s="1" t="s">
        <v>19</v>
      </c>
      <c r="B4" t="s">
        <v>4</v>
      </c>
      <c r="C4" t="s">
        <v>5</v>
      </c>
      <c r="D4" t="s">
        <v>6</v>
      </c>
      <c r="E4" t="s">
        <v>20</v>
      </c>
    </row>
    <row r="5" spans="1:5" x14ac:dyDescent="0.3">
      <c r="A5" s="2">
        <v>2001</v>
      </c>
      <c r="B5" s="3">
        <v>225</v>
      </c>
      <c r="C5" s="3">
        <v>200</v>
      </c>
      <c r="D5" s="3">
        <v>500</v>
      </c>
      <c r="E5" s="3">
        <v>925</v>
      </c>
    </row>
    <row r="6" spans="1:5" x14ac:dyDescent="0.3">
      <c r="A6" s="2">
        <v>2002</v>
      </c>
      <c r="B6" s="3">
        <v>120</v>
      </c>
      <c r="C6" s="3">
        <v>200</v>
      </c>
      <c r="D6" s="3">
        <v>450</v>
      </c>
      <c r="E6" s="3">
        <v>770</v>
      </c>
    </row>
    <row r="7" spans="1:5" x14ac:dyDescent="0.3">
      <c r="A7" s="2">
        <v>2003</v>
      </c>
      <c r="B7" s="3">
        <v>72</v>
      </c>
      <c r="C7" s="3">
        <v>150</v>
      </c>
      <c r="D7" s="3">
        <v>840</v>
      </c>
      <c r="E7" s="3">
        <v>1062</v>
      </c>
    </row>
    <row r="8" spans="1:5" x14ac:dyDescent="0.3">
      <c r="A8" s="2">
        <v>2004</v>
      </c>
      <c r="B8" s="3">
        <v>150</v>
      </c>
      <c r="C8" s="3">
        <v>240</v>
      </c>
      <c r="D8" s="3">
        <v>400</v>
      </c>
      <c r="E8" s="3">
        <v>790</v>
      </c>
    </row>
    <row r="9" spans="1:5" x14ac:dyDescent="0.3">
      <c r="A9" s="2">
        <v>2005</v>
      </c>
      <c r="B9" s="3">
        <v>140</v>
      </c>
      <c r="C9" s="3">
        <v>225</v>
      </c>
      <c r="D9" s="3">
        <v>600</v>
      </c>
      <c r="E9" s="3">
        <v>965</v>
      </c>
    </row>
    <row r="10" spans="1:5" x14ac:dyDescent="0.3">
      <c r="A10" s="2">
        <v>2006</v>
      </c>
      <c r="B10" s="3">
        <v>88</v>
      </c>
      <c r="C10" s="3">
        <v>180</v>
      </c>
      <c r="D10" s="3">
        <v>600</v>
      </c>
      <c r="E10" s="3">
        <v>868</v>
      </c>
    </row>
    <row r="11" spans="1:5" x14ac:dyDescent="0.3">
      <c r="A11" s="2">
        <v>2007</v>
      </c>
      <c r="B11" s="3">
        <v>180</v>
      </c>
      <c r="C11" s="3">
        <v>260</v>
      </c>
      <c r="D11" s="3">
        <v>960</v>
      </c>
      <c r="E11" s="3">
        <v>1400</v>
      </c>
    </row>
    <row r="12" spans="1:5" x14ac:dyDescent="0.3">
      <c r="A12" s="2">
        <v>2008</v>
      </c>
      <c r="B12" s="3">
        <v>160</v>
      </c>
      <c r="C12" s="3">
        <v>250</v>
      </c>
      <c r="D12" s="3">
        <v>600</v>
      </c>
      <c r="E12" s="3">
        <v>1010</v>
      </c>
    </row>
    <row r="13" spans="1:5" x14ac:dyDescent="0.3">
      <c r="A13" s="2">
        <v>2009</v>
      </c>
      <c r="B13" s="3">
        <v>1158</v>
      </c>
      <c r="C13" s="3">
        <v>210</v>
      </c>
      <c r="D13" s="3">
        <v>700</v>
      </c>
      <c r="E13" s="3">
        <v>2068</v>
      </c>
    </row>
    <row r="14" spans="1:5" x14ac:dyDescent="0.3">
      <c r="A14" s="2" t="s">
        <v>20</v>
      </c>
      <c r="B14" s="3">
        <v>2293</v>
      </c>
      <c r="C14" s="3">
        <v>1915</v>
      </c>
      <c r="D14" s="3">
        <v>5650</v>
      </c>
      <c r="E14" s="3">
        <v>9858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C7F9D-D8F8-4D46-B074-80D83E6C0C2E}">
  <dimension ref="A1:M30"/>
  <sheetViews>
    <sheetView tabSelected="1" topLeftCell="B7" zoomScale="107" workbookViewId="0">
      <selection activeCell="J14" sqref="J14"/>
    </sheetView>
  </sheetViews>
  <sheetFormatPr defaultRowHeight="14.4" x14ac:dyDescent="0.3"/>
  <cols>
    <col min="5" max="5" width="13.33203125" customWidth="1"/>
    <col min="6" max="6" width="19" customWidth="1"/>
    <col min="7" max="7" width="13.88671875" customWidth="1"/>
    <col min="9" max="9" width="17" customWidth="1"/>
    <col min="10" max="10" width="20.109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I1" t="s">
        <v>15</v>
      </c>
      <c r="J1" t="s">
        <v>16</v>
      </c>
      <c r="K1" t="s">
        <v>0</v>
      </c>
      <c r="L1" t="s">
        <v>17</v>
      </c>
      <c r="M1" t="s">
        <v>18</v>
      </c>
    </row>
    <row r="2" spans="1:13" x14ac:dyDescent="0.3">
      <c r="A2">
        <v>2009</v>
      </c>
      <c r="B2" t="s">
        <v>4</v>
      </c>
      <c r="C2">
        <v>6</v>
      </c>
      <c r="D2">
        <v>9</v>
      </c>
      <c r="E2">
        <f>C2*D2</f>
        <v>54</v>
      </c>
      <c r="F2" t="s">
        <v>9</v>
      </c>
      <c r="G2">
        <f>SUM(E2:E31)</f>
        <v>9858</v>
      </c>
    </row>
    <row r="3" spans="1:13" x14ac:dyDescent="0.3">
      <c r="A3">
        <v>2003</v>
      </c>
      <c r="B3" t="s">
        <v>4</v>
      </c>
      <c r="C3">
        <v>9</v>
      </c>
      <c r="D3">
        <v>8</v>
      </c>
      <c r="E3">
        <f t="shared" ref="E3:E31" si="0">C3*D3</f>
        <v>72</v>
      </c>
      <c r="F3" t="s">
        <v>8</v>
      </c>
      <c r="G3">
        <f>AVERAGE(E2:E31)</f>
        <v>339.93103448275861</v>
      </c>
      <c r="I3" t="str" cm="1">
        <f t="array" ref="I3:I5">_xlfn.UNIQUE(B2:B30)</f>
        <v>Accessories</v>
      </c>
      <c r="J3">
        <f>SUMIF(B2:B30,I3,E2:E30)</f>
        <v>2293</v>
      </c>
      <c r="K3">
        <v>2001</v>
      </c>
      <c r="L3">
        <f>SUMIF($A$2:$A$30,K3,$E$2:$E$30)</f>
        <v>925</v>
      </c>
    </row>
    <row r="4" spans="1:13" x14ac:dyDescent="0.3">
      <c r="A4">
        <v>2006</v>
      </c>
      <c r="B4" t="s">
        <v>4</v>
      </c>
      <c r="C4">
        <v>11</v>
      </c>
      <c r="D4">
        <v>8</v>
      </c>
      <c r="E4">
        <f t="shared" si="0"/>
        <v>88</v>
      </c>
      <c r="F4" t="s">
        <v>10</v>
      </c>
      <c r="G4">
        <f>MAX(E2:E31)</f>
        <v>1000</v>
      </c>
      <c r="I4" t="str">
        <v>Clothing</v>
      </c>
      <c r="J4">
        <f t="shared" ref="J4:J5" si="1">SUMIF(B3:B31,I4,E3:E31)</f>
        <v>1915</v>
      </c>
      <c r="K4">
        <v>2002</v>
      </c>
      <c r="L4">
        <f t="shared" ref="L4:L11" si="2">SUMIF($A$2:$A$30,K4,$E$2:$E$30)</f>
        <v>770</v>
      </c>
    </row>
    <row r="5" spans="1:13" x14ac:dyDescent="0.3">
      <c r="A5">
        <v>2009</v>
      </c>
      <c r="B5" t="s">
        <v>4</v>
      </c>
      <c r="C5">
        <v>13</v>
      </c>
      <c r="D5">
        <v>8</v>
      </c>
      <c r="E5">
        <f t="shared" si="0"/>
        <v>104</v>
      </c>
      <c r="F5" t="s">
        <v>11</v>
      </c>
      <c r="G5">
        <f>MIN(E2:E31)</f>
        <v>54</v>
      </c>
      <c r="I5" t="str">
        <v>Electronics</v>
      </c>
      <c r="J5">
        <f t="shared" si="1"/>
        <v>5650</v>
      </c>
      <c r="K5">
        <v>2003</v>
      </c>
      <c r="L5">
        <f t="shared" si="2"/>
        <v>1062</v>
      </c>
    </row>
    <row r="6" spans="1:13" x14ac:dyDescent="0.3">
      <c r="A6">
        <v>2002</v>
      </c>
      <c r="B6" t="s">
        <v>4</v>
      </c>
      <c r="C6">
        <v>12</v>
      </c>
      <c r="D6">
        <v>10</v>
      </c>
      <c r="E6">
        <f t="shared" si="0"/>
        <v>120</v>
      </c>
      <c r="F6" t="s">
        <v>12</v>
      </c>
      <c r="G6">
        <f>STDEV(E2:E31)</f>
        <v>271.75158443939239</v>
      </c>
      <c r="K6">
        <v>2004</v>
      </c>
      <c r="L6">
        <f t="shared" si="2"/>
        <v>790</v>
      </c>
    </row>
    <row r="7" spans="1:13" x14ac:dyDescent="0.3">
      <c r="A7">
        <v>2005</v>
      </c>
      <c r="B7" t="s">
        <v>4</v>
      </c>
      <c r="C7">
        <v>14</v>
      </c>
      <c r="D7">
        <v>10</v>
      </c>
      <c r="E7">
        <f t="shared" si="0"/>
        <v>140</v>
      </c>
      <c r="F7" t="s">
        <v>13</v>
      </c>
      <c r="G7">
        <f>MEDIAN(E2:E31)</f>
        <v>225</v>
      </c>
      <c r="J7">
        <f>SUM(J3:J5)</f>
        <v>9858</v>
      </c>
      <c r="K7">
        <v>2005</v>
      </c>
      <c r="L7">
        <f t="shared" si="2"/>
        <v>965</v>
      </c>
    </row>
    <row r="8" spans="1:13" x14ac:dyDescent="0.3">
      <c r="A8">
        <v>2003</v>
      </c>
      <c r="B8" t="s">
        <v>5</v>
      </c>
      <c r="C8">
        <v>5</v>
      </c>
      <c r="D8">
        <v>30</v>
      </c>
      <c r="E8">
        <f t="shared" si="0"/>
        <v>150</v>
      </c>
      <c r="F8" t="s">
        <v>14</v>
      </c>
      <c r="G8">
        <f>SKEW(E2:E30)</f>
        <v>1.194899008285893</v>
      </c>
      <c r="K8">
        <v>2006</v>
      </c>
      <c r="L8">
        <f t="shared" si="2"/>
        <v>868</v>
      </c>
    </row>
    <row r="9" spans="1:13" x14ac:dyDescent="0.3">
      <c r="A9">
        <v>2004</v>
      </c>
      <c r="B9" t="s">
        <v>4</v>
      </c>
      <c r="C9">
        <v>10</v>
      </c>
      <c r="D9">
        <v>15</v>
      </c>
      <c r="E9">
        <f t="shared" si="0"/>
        <v>150</v>
      </c>
      <c r="K9">
        <v>2007</v>
      </c>
      <c r="L9">
        <f t="shared" si="2"/>
        <v>1400</v>
      </c>
    </row>
    <row r="10" spans="1:13" x14ac:dyDescent="0.3">
      <c r="A10">
        <v>2008</v>
      </c>
      <c r="B10" t="s">
        <v>4</v>
      </c>
      <c r="C10">
        <v>16</v>
      </c>
      <c r="D10">
        <v>10</v>
      </c>
      <c r="E10">
        <f t="shared" si="0"/>
        <v>160</v>
      </c>
      <c r="K10">
        <v>2008</v>
      </c>
      <c r="L10">
        <f t="shared" si="2"/>
        <v>1010</v>
      </c>
    </row>
    <row r="11" spans="1:13" x14ac:dyDescent="0.3">
      <c r="A11">
        <v>2006</v>
      </c>
      <c r="B11" t="s">
        <v>5</v>
      </c>
      <c r="C11">
        <v>6</v>
      </c>
      <c r="D11">
        <v>30</v>
      </c>
      <c r="E11">
        <f t="shared" si="0"/>
        <v>180</v>
      </c>
      <c r="K11">
        <v>2009</v>
      </c>
      <c r="L11">
        <f t="shared" si="2"/>
        <v>2068</v>
      </c>
    </row>
    <row r="12" spans="1:13" x14ac:dyDescent="0.3">
      <c r="A12">
        <v>2007</v>
      </c>
      <c r="B12" t="s">
        <v>4</v>
      </c>
      <c r="C12">
        <v>12</v>
      </c>
      <c r="D12">
        <v>15</v>
      </c>
      <c r="E12">
        <f t="shared" si="0"/>
        <v>180</v>
      </c>
    </row>
    <row r="13" spans="1:13" x14ac:dyDescent="0.3">
      <c r="A13">
        <v>2001</v>
      </c>
      <c r="B13" t="s">
        <v>5</v>
      </c>
      <c r="C13">
        <v>10</v>
      </c>
      <c r="D13">
        <v>20</v>
      </c>
      <c r="E13">
        <f t="shared" si="0"/>
        <v>200</v>
      </c>
    </row>
    <row r="14" spans="1:13" x14ac:dyDescent="0.3">
      <c r="A14">
        <v>2002</v>
      </c>
      <c r="B14" t="s">
        <v>5</v>
      </c>
      <c r="C14">
        <v>8</v>
      </c>
      <c r="D14">
        <v>25</v>
      </c>
      <c r="E14">
        <f t="shared" si="0"/>
        <v>200</v>
      </c>
    </row>
    <row r="15" spans="1:13" x14ac:dyDescent="0.3">
      <c r="A15">
        <v>2009</v>
      </c>
      <c r="B15" t="s">
        <v>5</v>
      </c>
      <c r="C15">
        <v>7</v>
      </c>
      <c r="D15">
        <v>30</v>
      </c>
      <c r="E15">
        <f t="shared" si="0"/>
        <v>210</v>
      </c>
    </row>
    <row r="16" spans="1:13" x14ac:dyDescent="0.3">
      <c r="A16">
        <v>2001</v>
      </c>
      <c r="B16" t="s">
        <v>4</v>
      </c>
      <c r="C16">
        <v>15</v>
      </c>
      <c r="D16">
        <v>15</v>
      </c>
      <c r="E16">
        <f t="shared" si="0"/>
        <v>225</v>
      </c>
    </row>
    <row r="17" spans="1:5" x14ac:dyDescent="0.3">
      <c r="A17">
        <v>2005</v>
      </c>
      <c r="B17" t="s">
        <v>5</v>
      </c>
      <c r="C17">
        <v>9</v>
      </c>
      <c r="D17">
        <v>25</v>
      </c>
      <c r="E17">
        <f t="shared" si="0"/>
        <v>225</v>
      </c>
    </row>
    <row r="18" spans="1:5" x14ac:dyDescent="0.3">
      <c r="A18">
        <v>2004</v>
      </c>
      <c r="B18" t="s">
        <v>5</v>
      </c>
      <c r="C18">
        <v>12</v>
      </c>
      <c r="D18">
        <v>20</v>
      </c>
      <c r="E18">
        <f t="shared" si="0"/>
        <v>240</v>
      </c>
    </row>
    <row r="19" spans="1:5" x14ac:dyDescent="0.3">
      <c r="A19">
        <v>2008</v>
      </c>
      <c r="B19" t="s">
        <v>5</v>
      </c>
      <c r="C19">
        <v>10</v>
      </c>
      <c r="D19">
        <v>25</v>
      </c>
      <c r="E19">
        <f t="shared" si="0"/>
        <v>250</v>
      </c>
    </row>
    <row r="20" spans="1:5" x14ac:dyDescent="0.3">
      <c r="A20">
        <v>2007</v>
      </c>
      <c r="B20" t="s">
        <v>5</v>
      </c>
      <c r="C20">
        <v>13</v>
      </c>
      <c r="D20">
        <v>20</v>
      </c>
      <c r="E20">
        <f t="shared" si="0"/>
        <v>260</v>
      </c>
    </row>
    <row r="21" spans="1:5" x14ac:dyDescent="0.3">
      <c r="A21">
        <v>2004</v>
      </c>
      <c r="B21" t="s">
        <v>6</v>
      </c>
      <c r="C21">
        <v>2</v>
      </c>
      <c r="D21">
        <v>200</v>
      </c>
      <c r="E21">
        <f t="shared" si="0"/>
        <v>400</v>
      </c>
    </row>
    <row r="22" spans="1:5" x14ac:dyDescent="0.3">
      <c r="A22">
        <v>2002</v>
      </c>
      <c r="B22" t="s">
        <v>6</v>
      </c>
      <c r="C22">
        <v>3</v>
      </c>
      <c r="D22">
        <v>150</v>
      </c>
      <c r="E22">
        <f t="shared" si="0"/>
        <v>450</v>
      </c>
    </row>
    <row r="23" spans="1:5" x14ac:dyDescent="0.3">
      <c r="A23">
        <v>2001</v>
      </c>
      <c r="B23" t="s">
        <v>6</v>
      </c>
      <c r="C23">
        <v>5</v>
      </c>
      <c r="D23">
        <v>100</v>
      </c>
      <c r="E23">
        <f t="shared" si="0"/>
        <v>500</v>
      </c>
    </row>
    <row r="24" spans="1:5" x14ac:dyDescent="0.3">
      <c r="A24">
        <v>2005</v>
      </c>
      <c r="B24" t="s">
        <v>6</v>
      </c>
      <c r="C24">
        <v>6</v>
      </c>
      <c r="D24">
        <v>100</v>
      </c>
      <c r="E24">
        <f t="shared" si="0"/>
        <v>600</v>
      </c>
    </row>
    <row r="25" spans="1:5" x14ac:dyDescent="0.3">
      <c r="A25">
        <v>2006</v>
      </c>
      <c r="B25" t="s">
        <v>6</v>
      </c>
      <c r="C25">
        <v>4</v>
      </c>
      <c r="D25">
        <v>150</v>
      </c>
      <c r="E25">
        <f t="shared" si="0"/>
        <v>600</v>
      </c>
    </row>
    <row r="26" spans="1:5" x14ac:dyDescent="0.3">
      <c r="A26">
        <v>2008</v>
      </c>
      <c r="B26" t="s">
        <v>6</v>
      </c>
      <c r="C26">
        <v>3</v>
      </c>
      <c r="D26">
        <v>200</v>
      </c>
      <c r="E26">
        <f t="shared" si="0"/>
        <v>600</v>
      </c>
    </row>
    <row r="27" spans="1:5" x14ac:dyDescent="0.3">
      <c r="A27">
        <v>2009</v>
      </c>
      <c r="B27" t="s">
        <v>6</v>
      </c>
      <c r="C27">
        <v>7</v>
      </c>
      <c r="D27">
        <v>100</v>
      </c>
      <c r="E27">
        <f t="shared" si="0"/>
        <v>700</v>
      </c>
    </row>
    <row r="28" spans="1:5" x14ac:dyDescent="0.3">
      <c r="A28">
        <v>2003</v>
      </c>
      <c r="B28" t="s">
        <v>6</v>
      </c>
      <c r="C28">
        <v>7</v>
      </c>
      <c r="D28">
        <v>120</v>
      </c>
      <c r="E28">
        <f t="shared" si="0"/>
        <v>840</v>
      </c>
    </row>
    <row r="29" spans="1:5" x14ac:dyDescent="0.3">
      <c r="A29">
        <v>2007</v>
      </c>
      <c r="B29" t="s">
        <v>6</v>
      </c>
      <c r="C29">
        <v>8</v>
      </c>
      <c r="D29">
        <v>120</v>
      </c>
      <c r="E29">
        <f t="shared" si="0"/>
        <v>960</v>
      </c>
    </row>
    <row r="30" spans="1:5" x14ac:dyDescent="0.3">
      <c r="A30">
        <v>2009</v>
      </c>
      <c r="B30" t="s">
        <v>4</v>
      </c>
      <c r="C30">
        <v>10</v>
      </c>
      <c r="D30">
        <v>100</v>
      </c>
      <c r="E30">
        <f t="shared" si="0"/>
        <v>1000</v>
      </c>
    </row>
  </sheetData>
  <sortState xmlns:xlrd2="http://schemas.microsoft.com/office/spreadsheetml/2017/richdata2" ref="K3:K11">
    <sortCondition ref="K3:K11"/>
  </sortState>
  <conditionalFormatting sqref="E2:E31">
    <cfRule type="cellIs" dxfId="3" priority="2" operator="equal">
      <formula>527</formula>
    </cfRule>
    <cfRule type="cellIs" dxfId="2" priority="3" operator="lessThan">
      <formula>500</formula>
    </cfRule>
    <cfRule type="cellIs" dxfId="1" priority="4" operator="greaterThan">
      <formula>500</formula>
    </cfRule>
  </conditionalFormatting>
  <conditionalFormatting sqref="E23">
    <cfRule type="cellIs" dxfId="0" priority="1" operator="equal">
      <formula>500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ITNU RT</cp:lastModifiedBy>
  <dcterms:created xsi:type="dcterms:W3CDTF">2026-04-13T13:27:40Z</dcterms:created>
  <dcterms:modified xsi:type="dcterms:W3CDTF">2026-04-13T13:53:20Z</dcterms:modified>
</cp:coreProperties>
</file>