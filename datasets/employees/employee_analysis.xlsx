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DA_Excel\Session2\"/>
    </mc:Choice>
  </mc:AlternateContent>
  <xr:revisionPtr revIDLastSave="0" documentId="13_ncr:1_{A7B19AC4-584B-4D88-B3BE-B0639A3B2387}" xr6:coauthVersionLast="47" xr6:coauthVersionMax="47" xr10:uidLastSave="{00000000-0000-0000-0000-000000000000}"/>
  <bookViews>
    <workbookView xWindow="-108" yWindow="-108" windowWidth="23256" windowHeight="12456" xr2:uid="{CE201E1D-A128-4A0C-89E4-587B1E9F5181}"/>
  </bookViews>
  <sheets>
    <sheet name="Employees" sheetId="1" r:id="rId1"/>
    <sheet name="Manag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E2" i="2" a="1"/>
  <c r="E2" i="2" s="1"/>
  <c r="I2" i="2" l="1" a="1"/>
  <c r="I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<sst xmlns="http://schemas.openxmlformats.org/spreadsheetml/2006/main" count="22" uniqueCount="20">
  <si>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Employee ID</t>
  </si>
  <si>
    <t>Name</t>
  </si>
  <si>
    <t>Department</t>
  </si>
  <si>
    <t>Salary</t>
  </si>
  <si>
    <t>Manager ID</t>
  </si>
  <si>
    <t>John Doe</t>
  </si>
  <si>
    <t>HR</t>
  </si>
  <si>
    <t>Jane Smith</t>
  </si>
  <si>
    <t>IT</t>
  </si>
  <si>
    <t>Mike Johnson</t>
  </si>
  <si>
    <t>Finance</t>
  </si>
  <si>
    <t>Emily Brown</t>
  </si>
  <si>
    <t>Marketing</t>
  </si>
  <si>
    <t>David Lee</t>
  </si>
  <si>
    <t>Operations</t>
  </si>
  <si>
    <t>Manager Name</t>
  </si>
  <si>
    <t>Sarah Adams</t>
  </si>
  <si>
    <t>Michael Brown</t>
  </si>
  <si>
    <t>Lisa Chang</t>
  </si>
  <si>
    <t>James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</si>
</sst>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B6B42-259C-49D7-809A-8AC8C799996D}" name="Employees" displayName="Employees" ref="A1:F6" totalsRowShown="0" headerRowDxfId="7" dataDxfId="6">
  <autoFilter ref="A1:F6" xr:uid="{5BEB6B42-259C-49D7-809A-8AC8C799996D}"/>
  <tableColumns count="6">
    <tableColumn id="1" xr3:uid="{5551FD6E-8947-412D-8940-C1A14D855D27}" name="Employee ID" dataDxfId="5"/>
    <tableColumn id="2" xr3:uid="{F747F4B0-06B8-4D35-9D5F-0F978C00CE58}" name="Name" dataDxfId="4"/>
    <tableColumn id="3" xr3:uid="{118EB282-F6ED-4105-B17D-25884B789F7B}" name="Department" dataDxfId="3"/>
    <tableColumn id="4" xr3:uid="{98F08476-4077-4DAC-915E-1F0AAB415BEE}" name="Salary" dataDxfId="2"/>
    <tableColumn id="5" xr3:uid="{B75F312C-30F7-4696-A4F2-231E57111E55}" name="Manager ID" dataDxfId="1"/>
    <tableColumn id="9" xr3:uid="{BFF460B2-EADC-469C-9EEC-FB3506E8CED3}" name="Manager Name" dataDxfId="0">
      <calculatedColumnFormula>INDEX(Managers[],MATCH(Employees[[#This Row],[Manager ID]],Managers[Manager ID],0),MATCH("Manager Name",Managers[#Headers],0))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C2E6D-4384-4402-A9DE-782CF450704D}" name="Managers" displayName="Managers" ref="A1:B5" totalsRowShown="0" headerRowDxfId="8" dataDxfId="9">
  <autoFilter ref="A1:B5" xr:uid="{898C2E6D-4384-4402-A9DE-782CF450704D}"/>
  <tableColumns count="2">
    <tableColumn id="1" xr3:uid="{B9EDCFE0-C720-4F1F-987C-8A5AD85A4F34}" name="Manager ID" dataDxfId="11"/>
    <tableColumn id="2" xr3:uid="{704D1FA0-1022-4AED-BCC5-E68481CCA1A9}" name="Manager Nam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3FF1-3B83-44A4-8D2B-C373159F0376}">
  <dimension ref="A1:F6"/>
  <sheetViews>
    <sheetView tabSelected="1" workbookViewId="0">
      <selection activeCell="F9" sqref="F9"/>
    </sheetView>
  </sheetViews>
  <sheetFormatPr defaultRowHeight="14.4" x14ac:dyDescent="0.3"/>
  <cols>
    <col min="1" max="1" width="18.109375" customWidth="1"/>
    <col min="2" max="2" width="11.77734375" customWidth="1"/>
    <col min="3" max="3" width="13.77734375" customWidth="1"/>
    <col min="4" max="4" width="8.109375" customWidth="1"/>
    <col min="5" max="5" width="12.77734375" customWidth="1"/>
    <col min="6" max="6" width="15.21875" customWidth="1"/>
    <col min="8" max="8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">
      <c r="A2" s="2">
        <v>101</v>
      </c>
      <c r="B2" s="2" t="s">
        <v>5</v>
      </c>
      <c r="C2" s="2" t="s">
        <v>6</v>
      </c>
      <c r="D2" s="2">
        <v>50000</v>
      </c>
      <c r="E2" s="2">
        <v>201</v>
      </c>
      <c r="F2" s="2" t="str">
        <f>INDEX(Managers[],MATCH(Employees[[#This Row],[Manager ID]],Managers[Manager ID],0),MATCH("Manager Name",Managers[#Headers],0))</f>
        <v>Sarah Adams</v>
      </c>
    </row>
    <row r="3" spans="1:6" x14ac:dyDescent="0.3">
      <c r="A3" s="2">
        <v>102</v>
      </c>
      <c r="B3" s="2" t="s">
        <v>7</v>
      </c>
      <c r="C3" s="2" t="s">
        <v>8</v>
      </c>
      <c r="D3" s="2">
        <v>60000</v>
      </c>
      <c r="E3" s="2">
        <v>202</v>
      </c>
      <c r="F3" s="2" t="str">
        <f>INDEX(Managers[],MATCH(Employees[[#This Row],[Manager ID]],Managers[Manager ID],0),MATCH("Manager Name",Managers[#Headers],0))</f>
        <v>Michael Brown</v>
      </c>
    </row>
    <row r="4" spans="1:6" x14ac:dyDescent="0.3">
      <c r="A4" s="2">
        <v>103</v>
      </c>
      <c r="B4" s="2" t="s">
        <v>9</v>
      </c>
      <c r="C4" s="2" t="s">
        <v>10</v>
      </c>
      <c r="D4" s="2">
        <v>55000</v>
      </c>
      <c r="E4" s="2">
        <v>203</v>
      </c>
      <c r="F4" s="2" t="str">
        <f>INDEX(Managers[],MATCH(Employees[[#This Row],[Manager ID]],Managers[Manager ID],0),MATCH("Manager Name",Managers[#Headers],0))</f>
        <v>Lisa Chang</v>
      </c>
    </row>
    <row r="5" spans="1:6" x14ac:dyDescent="0.3">
      <c r="A5" s="2">
        <v>104</v>
      </c>
      <c r="B5" s="2" t="s">
        <v>11</v>
      </c>
      <c r="C5" s="2" t="s">
        <v>12</v>
      </c>
      <c r="D5" s="2">
        <v>58000</v>
      </c>
      <c r="E5" s="2">
        <v>201</v>
      </c>
      <c r="F5" s="2" t="str">
        <f>INDEX(Managers[],MATCH(Employees[[#This Row],[Manager ID]],Managers[Manager ID],0),MATCH("Manager Name",Managers[#Headers],0))</f>
        <v>Sarah Adams</v>
      </c>
    </row>
    <row r="6" spans="1:6" x14ac:dyDescent="0.3">
      <c r="A6" s="2">
        <v>105</v>
      </c>
      <c r="B6" s="2" t="s">
        <v>13</v>
      </c>
      <c r="C6" s="2" t="s">
        <v>14</v>
      </c>
      <c r="D6" s="2">
        <v>52000</v>
      </c>
      <c r="E6" s="2">
        <v>204</v>
      </c>
      <c r="F6" s="2" t="str">
        <f>INDEX(Managers[],MATCH(Employees[[#This Row],[Manager ID]],Managers[Manager ID],0),MATCH("Manager Name",Managers[#Headers],0))</f>
        <v>James Wilson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DE55-1E02-4BAB-B539-6F032C7E6544}">
  <dimension ref="A1:N7"/>
  <sheetViews>
    <sheetView workbookViewId="0">
      <selection activeCell="F16" sqref="F16"/>
    </sheetView>
  </sheetViews>
  <sheetFormatPr defaultRowHeight="14.4" x14ac:dyDescent="0.3"/>
  <cols>
    <col min="1" max="1" width="16.88671875" customWidth="1"/>
    <col min="2" max="2" width="15.6640625" customWidth="1"/>
    <col min="5" max="5" width="12.21875" customWidth="1"/>
    <col min="6" max="6" width="18.44140625" customWidth="1"/>
  </cols>
  <sheetData>
    <row r="1" spans="1:14" x14ac:dyDescent="0.3">
      <c r="A1" s="1" t="s">
        <v>4</v>
      </c>
      <c r="B1" s="1" t="s">
        <v>15</v>
      </c>
    </row>
    <row r="2" spans="1:14" x14ac:dyDescent="0.3">
      <c r="A2" s="2">
        <v>201</v>
      </c>
      <c r="B2" s="2" t="s">
        <v>16</v>
      </c>
      <c r="E2" t="str" cm="1">
        <f t="array" ref="E2:F6">Managers[#All]</f>
        <v>Manager ID</v>
      </c>
      <c r="F2" t="str">
        <v>Manager Name</v>
      </c>
      <c r="I2" t="str" cm="1">
        <f t="array" ref="I2:N7">Employees[#All]</f>
        <v>Employee ID</v>
      </c>
      <c r="J2" t="str">
        <v>Name</v>
      </c>
      <c r="K2" t="str">
        <v>Department</v>
      </c>
      <c r="L2" t="str">
        <v>Salary</v>
      </c>
      <c r="M2" t="str">
        <v>Manager ID</v>
      </c>
      <c r="N2" t="str">
        <v>Manager Name</v>
      </c>
    </row>
    <row r="3" spans="1:14" x14ac:dyDescent="0.3">
      <c r="A3" s="2">
        <v>202</v>
      </c>
      <c r="B3" s="2" t="s">
        <v>17</v>
      </c>
      <c r="E3">
        <v>201</v>
      </c>
      <c r="F3" t="str">
        <v>Sarah Adams</v>
      </c>
      <c r="I3">
        <v>101</v>
      </c>
      <c r="J3" t="str">
        <v>John Doe</v>
      </c>
      <c r="K3" t="str">
        <v>HR</v>
      </c>
      <c r="L3">
        <v>50000</v>
      </c>
      <c r="M3">
        <v>201</v>
      </c>
      <c r="N3" t="str">
        <v>Sarah Adams</v>
      </c>
    </row>
    <row r="4" spans="1:14" x14ac:dyDescent="0.3">
      <c r="A4" s="2">
        <v>203</v>
      </c>
      <c r="B4" s="2" t="s">
        <v>18</v>
      </c>
      <c r="E4">
        <v>202</v>
      </c>
      <c r="F4" t="str">
        <v>Michael Brown</v>
      </c>
      <c r="I4">
        <v>102</v>
      </c>
      <c r="J4" t="str">
        <v>Jane Smith</v>
      </c>
      <c r="K4" t="str">
        <v>IT</v>
      </c>
      <c r="L4">
        <v>60000</v>
      </c>
      <c r="M4">
        <v>202</v>
      </c>
      <c r="N4" t="str">
        <v>Michael Brown</v>
      </c>
    </row>
    <row r="5" spans="1:14" x14ac:dyDescent="0.3">
      <c r="A5" s="2">
        <v>204</v>
      </c>
      <c r="B5" s="2" t="s">
        <v>19</v>
      </c>
      <c r="E5">
        <v>203</v>
      </c>
      <c r="F5" t="str">
        <v>Lisa Chang</v>
      </c>
      <c r="I5">
        <v>103</v>
      </c>
      <c r="J5" t="str">
        <v>Mike Johnson</v>
      </c>
      <c r="K5" t="str">
        <v>Finance</v>
      </c>
      <c r="L5">
        <v>55000</v>
      </c>
      <c r="M5">
        <v>203</v>
      </c>
      <c r="N5" t="str">
        <v>Lisa Chang</v>
      </c>
    </row>
    <row r="6" spans="1:14" x14ac:dyDescent="0.3">
      <c r="E6">
        <v>204</v>
      </c>
      <c r="F6" t="str">
        <v>James Wilson</v>
      </c>
      <c r="I6">
        <v>104</v>
      </c>
      <c r="J6" t="str">
        <v>Emily Brown</v>
      </c>
      <c r="K6" t="str">
        <v>Marketing</v>
      </c>
      <c r="L6">
        <v>58000</v>
      </c>
      <c r="M6">
        <v>201</v>
      </c>
      <c r="N6" t="str">
        <v>Sarah Adams</v>
      </c>
    </row>
    <row r="7" spans="1:14" x14ac:dyDescent="0.3">
      <c r="I7">
        <v>105</v>
      </c>
      <c r="J7" t="str">
        <v>David Lee</v>
      </c>
      <c r="K7" t="str">
        <v>Operations</v>
      </c>
      <c r="L7">
        <v>52000</v>
      </c>
      <c r="M7">
        <v>204</v>
      </c>
      <c r="N7" t="str">
        <v>James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Bansal (P2023PTLP0014)</dc:creator>
  <cp:lastModifiedBy>ITNU RT</cp:lastModifiedBy>
  <dcterms:created xsi:type="dcterms:W3CDTF">2024-06-30T13:02:20Z</dcterms:created>
  <dcterms:modified xsi:type="dcterms:W3CDTF">2026-04-13T16:33:39Z</dcterms:modified>
</cp:coreProperties>
</file>